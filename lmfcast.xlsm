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527" codeName="{564CA151-5A5B-428A-3C10-77597649240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eff\Desktop\worksheets\"/>
    </mc:Choice>
  </mc:AlternateContent>
  <xr:revisionPtr revIDLastSave="0" documentId="13_ncr:1_{032C9262-917D-4360-A5C4-D9EE0D12298E}" xr6:coauthVersionLast="45" xr6:coauthVersionMax="45" xr10:uidLastSave="{00000000-0000-0000-0000-000000000000}"/>
  <bookViews>
    <workbookView xWindow="1920" yWindow="495" windowWidth="15375" windowHeight="7995" xr2:uid="{00000000-000D-0000-FFFF-FFFF00000000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8" i="1" l="1"/>
  <c r="K2" i="1"/>
  <c r="K3" i="1"/>
  <c r="K4" i="1"/>
  <c r="K7" i="1" a="1"/>
  <c r="L8" i="1"/>
  <c r="L7" i="1"/>
  <c r="K7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<sst xmlns="http://schemas.openxmlformats.org/spreadsheetml/2006/main" count="10" uniqueCount="8">
  <si>
    <t>Variables</t>
  </si>
  <si>
    <t>Intercept</t>
  </si>
  <si>
    <t>lm constants</t>
  </si>
  <si>
    <t>chk</t>
  </si>
  <si>
    <t>lmtest</t>
  </si>
  <si>
    <t>Predict</t>
  </si>
  <si>
    <t>Forecast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</si>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</sst>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V8"/>
  <sheetViews>
    <sheetView tabSelected="1" workbookViewId="0">
      <selection activeCell="K8" sqref="K8"/>
    </sheetView>
  </sheetViews>
  <sheetFormatPr defaultRowHeight="15" x14ac:dyDescent="0.25"/>
  <cols>
    <col min="2" max="10" width="6.7109375" customWidth="1"/>
    <col min="11" max="11" width="8.42578125" bestFit="1" customWidth="1"/>
    <col min="12" max="12" width="9.140625" customWidth="1"/>
    <col min="13" max="22" width="6.7109375" customWidth="1"/>
  </cols>
  <sheetData>
    <row r="1" spans="1:22" x14ac:dyDescent="0.25">
      <c r="A1" t="s">
        <v>5</v>
      </c>
      <c r="B1" t="s">
        <v>0</v>
      </c>
      <c r="K1" t="s">
        <v>6</v>
      </c>
      <c r="M1" t="s">
        <v>2</v>
      </c>
    </row>
    <row r="2" spans="1:22" x14ac:dyDescent="0.25">
      <c r="A2" t="s">
        <v>7</v>
      </c>
      <c r="B2">
        <v>7</v>
      </c>
      <c r="C2">
        <v>6</v>
      </c>
      <c r="D2">
        <v>5</v>
      </c>
      <c r="E2">
        <v>4</v>
      </c>
      <c r="F2">
        <v>3</v>
      </c>
      <c r="G2">
        <v>2</v>
      </c>
      <c r="H2">
        <v>1</v>
      </c>
      <c r="I2">
        <v>2</v>
      </c>
      <c r="J2">
        <v>3</v>
      </c>
      <c r="K2">
        <f>LmFcast($M$3:$V$3, B2:J2)</f>
        <v>192</v>
      </c>
      <c r="V2" t="s">
        <v>1</v>
      </c>
    </row>
    <row r="3" spans="1:22" x14ac:dyDescent="0.25">
      <c r="A3" t="s">
        <v>7</v>
      </c>
      <c r="B3">
        <v>8</v>
      </c>
      <c r="C3">
        <v>7</v>
      </c>
      <c r="D3">
        <v>6</v>
      </c>
      <c r="E3">
        <v>5</v>
      </c>
      <c r="F3">
        <v>4</v>
      </c>
      <c r="G3">
        <v>3</v>
      </c>
      <c r="H3">
        <v>2</v>
      </c>
      <c r="I3">
        <v>1</v>
      </c>
      <c r="J3">
        <v>2</v>
      </c>
      <c r="K3">
        <f>LmFcast($M$3:$V$3, B3:J3)</f>
        <v>220</v>
      </c>
      <c r="M3">
        <v>10</v>
      </c>
      <c r="N3">
        <v>1</v>
      </c>
      <c r="O3">
        <v>9</v>
      </c>
      <c r="P3">
        <v>2</v>
      </c>
      <c r="Q3">
        <v>8</v>
      </c>
      <c r="R3">
        <v>3</v>
      </c>
      <c r="S3">
        <v>7</v>
      </c>
      <c r="T3">
        <v>4</v>
      </c>
      <c r="U3">
        <v>6</v>
      </c>
      <c r="V3">
        <v>10</v>
      </c>
    </row>
    <row r="4" spans="1:22" x14ac:dyDescent="0.25">
      <c r="A4" t="s">
        <v>7</v>
      </c>
      <c r="B4">
        <v>68</v>
      </c>
      <c r="C4">
        <v>42</v>
      </c>
      <c r="D4">
        <v>26</v>
      </c>
      <c r="E4">
        <v>16</v>
      </c>
      <c r="F4">
        <v>10</v>
      </c>
      <c r="G4">
        <v>6</v>
      </c>
      <c r="H4">
        <v>4</v>
      </c>
      <c r="I4">
        <v>2</v>
      </c>
      <c r="J4">
        <v>1</v>
      </c>
      <c r="K4">
        <f>LmFcast($M$3:$V$3, B4:J4)</f>
        <v>956</v>
      </c>
    </row>
    <row r="7" spans="1:22" x14ac:dyDescent="0.25">
      <c r="J7" t="s">
        <v>4</v>
      </c>
      <c r="K7" cm="1">
        <f t="array" ref="K7">LmFcast(M3:V3,B4:J4)</f>
        <v>956</v>
      </c>
      <c r="L7" t="str">
        <f ca="1">_xlfn.FORMULATEXT(K7)</f>
        <v>=LmFcast(M3:V3,B4:J4)</v>
      </c>
    </row>
    <row r="8" spans="1:22" x14ac:dyDescent="0.25">
      <c r="J8" t="s">
        <v>3</v>
      </c>
      <c r="K8">
        <f>V3 + U3*B4 + T3*C4 + S3*D4 + R3*E4 + Q3*F4 + P3*G4 + O3*H4 + N3*I4 + M3*J4</f>
        <v>956</v>
      </c>
      <c r="L8" t="str">
        <f ca="1">_xlfn.FORMULATEXT(K8)</f>
        <v>=V3 + U3*B4 + T3*C4 + S3*D4 + R3*E4 + Q3*F4 + P3*G4 + O3*H4 + N3*I4 + M3*J4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Jeff Koenig</dc:creator>
  <cp:lastModifiedBy>Jeff Koenig</cp:lastModifiedBy>
  <dcterms:created xsi:type="dcterms:W3CDTF">2017-07-29T20:56:21Z</dcterms:created>
  <dcterms:modified xsi:type="dcterms:W3CDTF">2020-03-09T22:16:10Z</dcterms:modified>
</cp:coreProperties>
</file>